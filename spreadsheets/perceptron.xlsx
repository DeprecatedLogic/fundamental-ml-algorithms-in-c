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charts/colors1.xml" ContentType="application/vnd.ms-office.chartcolorstyle+xml"/>
  <Override PartName="/xl/charts/style1.xml" ContentType="application/vnd.ms-office.chartstyle+xml"/>
  <Override PartName="/docProps/core.xml" ContentType="application/vnd.openxmlformats-package.core-properties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<sst xmlns="http://schemas.openxmlformats.org/spreadsheetml/2006/main" count="37" uniqueCount="37">
  <si>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>Latitude</t>
  </si>
  <si>
    <t>Longitude</t>
  </si>
  <si>
    <t>Pollution</t>
  </si>
  <si>
    <t xml:space="preserve">Latitude STD</t>
  </si>
  <si>
    <t xml:space="preserve">Longitude STD</t>
  </si>
  <si>
    <t xml:space="preserve">(w0 + w1*x1 + w2*x2)</t>
  </si>
  <si>
    <t xml:space="preserve">Weighted Sum</t>
  </si>
  <si>
    <t xml:space="preserve">Prediction y</t>
  </si>
  <si>
    <t>Error</t>
  </si>
  <si>
    <t xml:space="preserve">Delta w0</t>
  </si>
  <si>
    <t xml:space="preserve">Delta w1</t>
  </si>
  <si>
    <t xml:space="preserve">Delta w2</t>
  </si>
  <si>
    <t xml:space="preserve">Current  w0</t>
  </si>
  <si>
    <t xml:space="preserve">Current w1</t>
  </si>
  <si>
    <t xml:space="preserve">Current w2</t>
  </si>
  <si>
    <t>Mean</t>
  </si>
  <si>
    <t>Total</t>
  </si>
  <si>
    <t xml:space="preserve">Standard Deviation</t>
  </si>
  <si>
    <t xml:space="preserve">Non-standardized values work because both features are on the same scale.</t>
  </si>
  <si>
    <t xml:space="preserve">Standardized Values</t>
  </si>
  <si>
    <t xml:space="preserve">Non-standardized Values</t>
  </si>
  <si>
    <t>w0</t>
  </si>
  <si>
    <t>w1</t>
  </si>
  <si>
    <t>w2</t>
  </si>
  <si>
    <t>a</t>
  </si>
  <si>
    <t xml:space="preserve">Perceptron Decision Boundary</t>
  </si>
  <si>
    <t xml:space="preserve">w0 + w1 * x1 + w2* x2 = 0</t>
  </si>
  <si>
    <t xml:space="preserve">0 + (-0.832022) * x1 + 0.256438 * x2 = 0</t>
  </si>
  <si>
    <t xml:space="preserve">1.381 + (-0.279) * x1 + 0.0588 * x2 = 0</t>
  </si>
  <si>
    <t xml:space="preserve">0.256438 * x2 = 0.832022 * x1</t>
  </si>
  <si>
    <t xml:space="preserve">0.0588 * x2 = 0.279 * x1 - 1.381</t>
  </si>
  <si>
    <t>x2</t>
  </si>
  <si>
    <t>x1</t>
  </si>
  <si>
    <t xml:space="preserve">Polluted (STD)</t>
  </si>
  <si>
    <t xml:space="preserve">Non-Polluted (STD)</t>
  </si>
  <si>
    <t>Polluted</t>
  </si>
  <si>
    <t>Non-Polluted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</si>
</sst>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  <scheme val="minor"/>
    </font>
    <font>
      <sz val="10.000000"/>
      <name val="Montserrat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theme="1" tint="0.499984740745262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39997558519241921"/>
        <bgColor theme="9" tint="0.39997558519241921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 tint="0.34998626667073579"/>
      </left>
      <right style="thin">
        <color theme="1" tint="0.34998626667073579"/>
      </right>
      <top style="none"/>
      <bottom style="none"/>
      <diagonal style="none"/>
    </border>
    <border>
      <left style="thin">
        <color theme="1" tint="0.34998626667073579"/>
      </left>
      <right style="thin">
        <color theme="1" tint="0.34998626667073579"/>
      </right>
      <top style="none"/>
      <bottom style="thin">
        <color theme="1" tint="0.34998626667073579"/>
      </bottom>
      <diagonal style="none"/>
    </border>
    <border>
      <left style="thin">
        <color theme="3" tint="0"/>
      </left>
      <right style="none"/>
      <top style="thin">
        <color theme="3" tint="0"/>
      </top>
      <bottom style="none"/>
      <diagonal style="none"/>
    </border>
    <border>
      <left style="none"/>
      <right style="thin">
        <color theme="3" tint="0"/>
      </right>
      <top style="thin">
        <color theme="3" tint="0"/>
      </top>
      <bottom style="none"/>
      <diagonal style="none"/>
    </border>
    <border>
      <left style="none"/>
      <right style="none"/>
      <top style="thin">
        <color theme="9" tint="-0.249977111117893"/>
      </top>
      <bottom style="none"/>
      <diagonal style="none"/>
    </border>
    <border>
      <left style="none"/>
      <right style="thin">
        <color theme="9" tint="-0.249977111117893"/>
      </right>
      <top style="thin">
        <color theme="9" tint="-0.249977111117893"/>
      </top>
      <bottom style="none"/>
      <diagonal style="none"/>
    </border>
    <border>
      <left style="thin">
        <color theme="3" tint="-0.499984740745262"/>
      </left>
      <right style="none"/>
      <top style="thin">
        <color theme="3" tint="-0.499984740745262"/>
      </top>
      <bottom style="none"/>
      <diagonal style="none"/>
    </border>
    <border>
      <left style="none"/>
      <right style="thin">
        <color theme="3" tint="-0.499984740745262"/>
      </right>
      <top style="thin">
        <color theme="3" tint="-0.499984740745262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/>
    <xf fontId="1" fillId="0" borderId="0" numFmtId="0" xfId="0" applyFont="1" applyAlignment="1">
      <alignment horizontal="center" vertical="center"/>
    </xf>
    <xf fontId="1" fillId="0" borderId="0" numFmtId="2" xfId="0" applyNumberFormat="1" applyFont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/>
    </xf>
    <xf fontId="1" fillId="0" borderId="3" numFmtId="0" xfId="0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0" fillId="0" borderId="0" numFmtId="0" xfId="0" applyAlignment="1">
      <alignment horizontal="center"/>
    </xf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3" borderId="0" numFmtId="0" xfId="0" applyFont="1" applyFill="1" applyAlignment="1">
      <alignment horizontal="center" vertical="center"/>
    </xf>
    <xf fontId="1" fillId="4" borderId="10" numFmtId="0" xfId="0" applyFont="1" applyFill="1" applyBorder="1" applyAlignment="1">
      <alignment horizontal="center" vertical="center"/>
    </xf>
    <xf fontId="1" fillId="4" borderId="11" numFmtId="0" xfId="0" applyFont="1" applyFill="1" applyBorder="1" applyAlignment="1">
      <alignment horizontal="center" vertical="center"/>
    </xf>
    <xf fontId="1" fillId="5" borderId="12" numFmtId="0" xfId="0" applyFont="1" applyFill="1" applyBorder="1" applyAlignment="1">
      <alignment horizontal="center" vertical="center"/>
    </xf>
    <xf fontId="1" fillId="5" borderId="13" numFmtId="0" xfId="0" applyFont="1" applyFill="1" applyBorder="1" applyAlignment="1">
      <alignment horizontal="center" vertical="center"/>
    </xf>
    <xf fontId="1" fillId="4" borderId="14" numFmtId="0" xfId="0" applyFont="1" applyFill="1" applyBorder="1" applyAlignment="1">
      <alignment horizontal="center" vertical="center"/>
    </xf>
    <xf fontId="1" fillId="4" borderId="15" numFmtId="0" xfId="0" applyFont="1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 vertical="center"/>
    </xf>
    <xf fontId="1" fillId="7" borderId="1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Samples &amp; Perceptron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26880"/>
          <c:y val="0.181280"/>
          <c:w val="0.938350"/>
          <c:h val="0.705370"/>
        </c:manualLayout>
      </c:layout>
      <c:scatterChart>
        <c:scatterStyle val="lineMarker"/>
        <c:varyColors val="0"/>
        <c:ser>
          <c:idx val="0"/>
          <c:order val="0"/>
          <c:tx>
            <c:v>polluted</c:v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noFill/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xVal>
            <c:numRef>
              <c:f>Sheet1!$A$62:$A$71</c:f>
              <c:numCache>
                <c:formatCode>General</c:formatCode>
                <c:ptCount val="10"/>
                <c:pt idx="0">
                  <c:v>-1.4923054099344681</c:v>
                </c:pt>
                <c:pt idx="1">
                  <c:v>0.18444224167729373</c:v>
                </c:pt>
                <c:pt idx="2">
                  <c:v>-1.8276549402568203</c:v>
                </c:pt>
                <c:pt idx="3">
                  <c:v>-0.15090728864505862</c:v>
                </c:pt>
                <c:pt idx="4">
                  <c:v>-0.8216063492897633</c:v>
                </c:pt>
                <c:pt idx="5">
                  <c:v>-1.1569558796121158</c:v>
                </c:pt>
                <c:pt idx="6">
                  <c:v>-0.48625681896741096</c:v>
                </c:pt>
                <c:pt idx="7">
                  <c:v>0.18444224167729373</c:v>
                </c:pt>
                <c:pt idx="8">
                  <c:v>-0.48625681896741096</c:v>
                </c:pt>
                <c:pt idx="9">
                  <c:v>-1.4923054099344681</c:v>
                </c:pt>
              </c:numCache>
            </c:numRef>
          </c:xVal>
          <c:yVal>
            <c:numRef>
              <c:f>Sheet1!$B$62:$B$71</c:f>
              <c:numCache>
                <c:formatCode>General</c:formatCode>
                <c:ptCount val="10"/>
                <c:pt idx="0">
                  <c:v>-0.2520781508588339</c:v>
                </c:pt>
                <c:pt idx="1">
                  <c:v>0.8937316257722296</c:v>
                </c:pt>
                <c:pt idx="2">
                  <c:v>-1.6270498828161102</c:v>
                </c:pt>
                <c:pt idx="3">
                  <c:v>1.1228935810984424</c:v>
                </c:pt>
                <c:pt idx="4">
                  <c:v>1.3520555364246551</c:v>
                </c:pt>
                <c:pt idx="5">
                  <c:v>-0.939564016837472</c:v>
                </c:pt>
                <c:pt idx="6">
                  <c:v>0.20624575979359153</c:v>
                </c:pt>
                <c:pt idx="7">
                  <c:v>1.581217491750868</c:v>
                </c:pt>
                <c:pt idx="8">
                  <c:v>1.1228935810984424</c:v>
                </c:pt>
                <c:pt idx="9">
                  <c:v>-1.1687259721636847</c:v>
                </c:pt>
              </c:numCache>
            </c:numRef>
          </c:yVal>
          <c:smooth val="0"/>
        </c:ser>
        <c:ser>
          <c:idx val="1"/>
          <c:order val="1"/>
          <c:tx>
            <c:v>non-polluted</c:v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noFill/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xVal>
            <c:numRef>
              <c:f>Sheet1!$C$62:$C$71</c:f>
              <c:numCache>
                <c:formatCode>General</c:formatCode>
                <c:ptCount val="10"/>
                <c:pt idx="0">
                  <c:v>0.18444224167729373</c:v>
                </c:pt>
                <c:pt idx="1">
                  <c:v>1.1904908326443508</c:v>
                </c:pt>
                <c:pt idx="2">
                  <c:v>0.18444224167729373</c:v>
                </c:pt>
                <c:pt idx="3">
                  <c:v>1.1904908326443508</c:v>
                </c:pt>
                <c:pt idx="4">
                  <c:v>1.5258403629667032</c:v>
                </c:pt>
                <c:pt idx="5">
                  <c:v>0.18444224167729373</c:v>
                </c:pt>
                <c:pt idx="6">
                  <c:v>0.8551413023219985</c:v>
                </c:pt>
                <c:pt idx="7">
                  <c:v>0.18444224167729373</c:v>
                </c:pt>
                <c:pt idx="8">
                  <c:v>1.5258403629667032</c:v>
                </c:pt>
                <c:pt idx="9">
                  <c:v>0.5197917719996461</c:v>
                </c:pt>
              </c:numCache>
            </c:numRef>
          </c:xVal>
          <c:yVal>
            <c:numRef>
              <c:f>Sheet1!$D$62:$D$71</c:f>
              <c:numCache>
                <c:formatCode>General</c:formatCode>
                <c:ptCount val="10"/>
                <c:pt idx="0">
                  <c:v>-0.7104020615112593</c:v>
                </c:pt>
                <c:pt idx="1">
                  <c:v>0.20624575979359153</c:v>
                </c:pt>
                <c:pt idx="2">
                  <c:v>-0.4812401061850466</c:v>
                </c:pt>
                <c:pt idx="3">
                  <c:v>0.8937316257722296</c:v>
                </c:pt>
                <c:pt idx="4">
                  <c:v>-0.2520781508588339</c:v>
                </c:pt>
                <c:pt idx="5">
                  <c:v>-0.7104020615112593</c:v>
                </c:pt>
                <c:pt idx="6">
                  <c:v>-1.1687259721636847</c:v>
                </c:pt>
                <c:pt idx="7">
                  <c:v>-0.7104020615112593</c:v>
                </c:pt>
                <c:pt idx="8">
                  <c:v>1.3520555364246551</c:v>
                </c:pt>
                <c:pt idx="9">
                  <c:v>-0.7104020615112593</c:v>
                </c:pt>
              </c:numCache>
            </c:numRef>
          </c:yVal>
          <c:smooth val="0"/>
        </c:ser>
        <c:ser>
          <c:idx val="2"/>
          <c:order val="2"/>
          <c:tx>
            <c:v>perceptron</c:v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xVal>
            <c:numRef>
              <c:f>Sheet1!$B$41:$B$42</c:f>
              <c:numCache>
                <c:formatCode>General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xVal>
          <c:yVal>
            <c:numRef>
              <c:f>Sheet1!$A$41:$A$42</c:f>
              <c:numCache>
                <c:formatCode>General</c:formatCode>
                <c:ptCount val="2"/>
                <c:pt idx="0">
                  <c:v>-3.8435749959057612</c:v>
                </c:pt>
                <c:pt idx="1">
                  <c:v>3.8435749959057612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511721983"/>
        <c:axId val="511721984"/>
      </c:scatterChart>
      <c:valAx>
        <c:axId val="511721983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511721984"/>
        <c:crosses val="autoZero"/>
        <c:crossBetween val="between"/>
      </c:valAx>
      <c:valAx>
        <c:axId val="51172198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51172198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9022077"/>
      <a:ext cx="5644514" cy="302323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Samples &amp; Perceptron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53540"/>
          <c:y val="0.168990"/>
          <c:w val="0.913790"/>
          <c:h val="0.667490"/>
        </c:manualLayout>
      </c:layout>
      <c:scatterChart>
        <c:scatterStyle val="lineMarker"/>
        <c:varyColors val="0"/>
        <c:ser>
          <c:idx val="0"/>
          <c:order val="0"/>
          <c:tx>
            <c:v>polluted</c:v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noFill/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xVal>
            <c:numRef>
              <c:f>Sheet1!$F$62:$F$71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1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7</c:v>
                </c:pt>
                <c:pt idx="8">
                  <c:v>5</c:v>
                </c:pt>
                <c:pt idx="9">
                  <c:v>2</c:v>
                </c:pt>
              </c:numCache>
            </c:numRef>
          </c:xVal>
          <c:yVal>
            <c:numRef>
              <c:f>Sheet1!$G$62:$G$71</c:f>
              <c:numCache>
                <c:formatCode>General</c:formatCode>
                <c:ptCount val="10"/>
                <c:pt idx="0">
                  <c:v>6</c:v>
                </c:pt>
                <c:pt idx="1">
                  <c:v>11</c:v>
                </c:pt>
                <c:pt idx="2">
                  <c:v>0</c:v>
                </c:pt>
                <c:pt idx="3">
                  <c:v>12</c:v>
                </c:pt>
                <c:pt idx="4">
                  <c:v>13</c:v>
                </c:pt>
                <c:pt idx="5">
                  <c:v>3</c:v>
                </c:pt>
                <c:pt idx="6">
                  <c:v>8</c:v>
                </c:pt>
                <c:pt idx="7">
                  <c:v>14</c:v>
                </c:pt>
                <c:pt idx="8">
                  <c:v>12</c:v>
                </c:pt>
                <c:pt idx="9">
                  <c:v>2</c:v>
                </c:pt>
              </c:numCache>
            </c:numRef>
          </c:yVal>
          <c:smooth val="0"/>
        </c:ser>
        <c:ser>
          <c:idx val="1"/>
          <c:order val="1"/>
          <c:tx>
            <c:v>non-polluted</c:v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noFill/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/>
            </c:spPr>
          </c:marker>
          <c:xVal>
            <c:numRef>
              <c:f>Sheet1!$H$62:$H$71</c:f>
              <c:numCache>
                <c:formatCode>General</c:formatCode>
                <c:ptCount val="10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11</c:v>
                </c:pt>
                <c:pt idx="9">
                  <c:v>8</c:v>
                </c:pt>
              </c:numCache>
            </c:numRef>
          </c:xVal>
          <c:yVal>
            <c:numRef>
              <c:f>Sheet1!$I$62:$I$71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11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13</c:v>
                </c:pt>
                <c:pt idx="9">
                  <c:v>4</c:v>
                </c:pt>
              </c:numCache>
            </c:numRef>
          </c:yVal>
          <c:smooth val="0"/>
        </c:ser>
        <c:ser>
          <c:idx val="2"/>
          <c:order val="2"/>
          <c:tx>
            <c:v>perceptron</c:v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/>
            </c:spPr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12</c:v>
              </c:pt>
            </c:numLit>
          </c:xVal>
          <c:yVal>
            <c:numLit>
              <c:formatCode>General</c:formatCode>
              <c:ptCount val="2"/>
              <c:pt idx="0">
                <c:v>-23.5</c:v>
              </c:pt>
              <c:pt idx="1">
                <c:v>33.5</c:v>
              </c:pt>
            </c:numLit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8979"/>
        <c:axId val="664968980"/>
      </c:scatterChart>
      <c:valAx>
        <c:axId val="664968979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8980"/>
        <c:crosses val="autoZero"/>
        <c:crossBetween val="between"/>
      </c:valAx>
      <c:valAx>
        <c:axId val="6649689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89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6981824" y="9052557"/>
      <a:ext cx="5273039" cy="302323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42</xdr:row>
      <xdr:rowOff>152397</xdr:rowOff>
    </xdr:from>
    <xdr:to>
      <xdr:col>3</xdr:col>
      <xdr:colOff>981074</xdr:colOff>
      <xdr:row>58</xdr:row>
      <xdr:rowOff>97150</xdr:rowOff>
    </xdr:to>
    <xdr:graphicFrame>
      <xdr:nvGraphicFramePr>
        <xdr:cNvPr id="753320370" name=""/>
        <xdr:cNvGraphicFramePr>
          <a:graphicFrameLocks xmlns:a="http://schemas.openxmlformats.org/drawingml/2006/main"/>
        </xdr:cNvGraphicFramePr>
      </xdr:nvGraphicFramePr>
      <xdr:xfrm rot="0">
        <a:off x="0" y="9022077"/>
        <a:ext cx="5644514" cy="302323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5</xdr:col>
      <xdr:colOff>1904</xdr:colOff>
      <xdr:row>42</xdr:row>
      <xdr:rowOff>152397</xdr:rowOff>
    </xdr:from>
    <xdr:to>
      <xdr:col>8</xdr:col>
      <xdr:colOff>779144</xdr:colOff>
      <xdr:row>58</xdr:row>
      <xdr:rowOff>97150</xdr:rowOff>
    </xdr:to>
    <xdr:graphicFrame>
      <xdr:nvGraphicFramePr>
        <xdr:cNvPr id="376584466" name=""/>
        <xdr:cNvGraphicFramePr>
          <a:graphicFrameLocks xmlns:a="http://schemas.openxmlformats.org/drawingml/2006/main"/>
        </xdr:cNvGraphicFramePr>
      </xdr:nvGraphicFramePr>
      <xdr:xfrm rot="0">
        <a:off x="6981824" y="9052557"/>
        <a:ext cx="5273039" cy="302323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40:$B$42">
  <autoFilter ref="$A$40:$B$42"/>
  <tableColumns count="2">
    <tableColumn id="1" name="x2"/>
    <tableColumn id="2" name="x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F40:G42">
  <autoFilter ref="F40:G42"/>
  <tableColumns count="2">
    <tableColumn id="1" name="x2"/>
    <tableColumn id="2" name="x1"/>
  </tableColumns>
  <tableStyleInfo name="TableStyleLight8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1.xml"/><Relationship 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style="1" width="36.28125"/>
    <col bestFit="1" customWidth="1" min="2" max="2" style="1" width="20.6328125"/>
    <col bestFit="1" min="3" max="3" style="1" width="13.05078125"/>
    <col bestFit="1" min="4" max="4" style="1" width="14.7734375"/>
    <col customWidth="1" min="5" max="5" style="1" width="27.140625"/>
    <col customWidth="1" min="6" max="6" style="1" width="38.8515625"/>
    <col bestFit="1" customWidth="1" min="7" max="7" style="1" width="19.22265625"/>
    <col bestFit="1" customWidth="1" min="8" max="8" style="1" width="15.11328125"/>
    <col customWidth="1" min="9" max="9" style="1" width="12.421875"/>
    <col bestFit="1" min="10" max="10" style="1" width="8.7109375"/>
    <col min="11" max="12" style="1" width="10.28125"/>
    <col customWidth="1" min="13" max="13" style="1" width="11.00390625"/>
    <col customWidth="1" min="14" max="14" style="1" width="10.7109375"/>
    <col min="15" max="15" style="1" width="10.28125"/>
    <col bestFit="1" min="16" max="16" style="1" width="12.57421875"/>
    <col bestFit="1" min="17" max="17" style="1" width="12.00390625"/>
    <col bestFit="1" min="18" max="18" style="1" width="12.421875"/>
    <col min="19" max="16384" style="1" width="10.28125"/>
  </cols>
  <sheetData>
    <row r="1" ht="17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1" t="s">
        <v>10</v>
      </c>
      <c r="N1" s="1" t="s">
        <v>11</v>
      </c>
      <c r="P1" s="1" t="s">
        <v>12</v>
      </c>
      <c r="Q1" s="1" t="s">
        <v>13</v>
      </c>
      <c r="R1" s="1" t="s">
        <v>14</v>
      </c>
    </row>
    <row r="2" ht="17.25">
      <c r="A2" s="1">
        <v>2</v>
      </c>
      <c r="B2" s="1">
        <v>6</v>
      </c>
      <c r="C2" s="1">
        <v>1</v>
      </c>
      <c r="E2" s="1">
        <f t="shared" ref="E2:E9" si="0">(A2-A$24)/A$27</f>
        <v>-1.4923054099344681</v>
      </c>
      <c r="F2" s="1">
        <f t="shared" ref="F2:F9" si="1">(B2-B$24)/B$27</f>
        <v>-0.25207815085883389</v>
      </c>
      <c r="H2" s="2">
        <f t="shared" ref="H2:H9" si="2">P2+(Q2*E2)+(R2*F2)</f>
        <v>2.5018655642904628</v>
      </c>
      <c r="I2" s="1">
        <f t="shared" ref="I2:I9" si="3">IF($H2&gt;=0,1,0)</f>
        <v>1</v>
      </c>
      <c r="J2" s="1">
        <f t="shared" ref="J2:J9" si="4">$C2-$I2</f>
        <v>0</v>
      </c>
      <c r="L2" s="1">
        <f t="shared" ref="L2:L9" si="5">$D$32*$J2</f>
        <v>0</v>
      </c>
      <c r="M2" s="1">
        <f t="shared" ref="M2:M9" si="6">$D$32*$J2*E2</f>
        <v>0</v>
      </c>
      <c r="N2" s="1">
        <f t="shared" ref="N2:N9" si="7">$D$32*$J2*F2</f>
        <v>0</v>
      </c>
      <c r="P2" s="1">
        <f t="shared" ref="P2:P10" si="8">IF(ISNUMBER(P1),P1+L1,$A$32)</f>
        <v>0</v>
      </c>
      <c r="Q2" s="1">
        <f t="shared" ref="Q2:Q10" si="9">IF(ISNUMBER(Q1),Q1+M1,$B$32)</f>
        <v>-1.8380705909670572</v>
      </c>
      <c r="R2" s="1">
        <f t="shared" ref="R2:R10" si="10">IF(ISNUMBER(R1),R1+N1,$C$32)</f>
        <v>0.95643800000000001</v>
      </c>
    </row>
    <row r="3" ht="17.25">
      <c r="A3" s="1">
        <v>7</v>
      </c>
      <c r="B3" s="1">
        <v>11</v>
      </c>
      <c r="C3" s="1">
        <v>1</v>
      </c>
      <c r="E3" s="1">
        <f t="shared" si="0"/>
        <v>0.18444224167729373</v>
      </c>
      <c r="F3" s="1">
        <f t="shared" si="1"/>
        <v>0.89373162577222964</v>
      </c>
      <c r="H3" s="2">
        <f t="shared" si="2"/>
        <v>0.51578102853126784</v>
      </c>
      <c r="I3" s="1">
        <f t="shared" si="3"/>
        <v>1</v>
      </c>
      <c r="J3" s="1">
        <f t="shared" si="4"/>
        <v>0</v>
      </c>
      <c r="L3" s="1">
        <f t="shared" si="5"/>
        <v>0</v>
      </c>
      <c r="M3" s="1">
        <f t="shared" si="6"/>
        <v>0</v>
      </c>
      <c r="N3" s="1">
        <f t="shared" si="7"/>
        <v>0</v>
      </c>
      <c r="P3" s="1">
        <f t="shared" si="8"/>
        <v>0</v>
      </c>
      <c r="Q3" s="1">
        <f t="shared" si="9"/>
        <v>-1.8380705909670572</v>
      </c>
      <c r="R3" s="1">
        <f t="shared" si="10"/>
        <v>0.95643800000000001</v>
      </c>
    </row>
    <row r="4" ht="17.25">
      <c r="A4" s="1">
        <v>7</v>
      </c>
      <c r="B4" s="1">
        <v>4</v>
      </c>
      <c r="C4" s="1">
        <v>0</v>
      </c>
      <c r="E4" s="1">
        <f t="shared" si="0"/>
        <v>0.18444224167729373</v>
      </c>
      <c r="F4" s="1">
        <f t="shared" si="1"/>
        <v>-0.71040206151125929</v>
      </c>
      <c r="H4" s="2">
        <f t="shared" si="2"/>
        <v>-1.0184733870667779</v>
      </c>
      <c r="I4" s="1">
        <f t="shared" si="3"/>
        <v>0</v>
      </c>
      <c r="J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P4" s="1">
        <f t="shared" si="8"/>
        <v>0</v>
      </c>
      <c r="Q4" s="1">
        <f t="shared" si="9"/>
        <v>-1.8380705909670572</v>
      </c>
      <c r="R4" s="1">
        <f t="shared" si="10"/>
        <v>0.95643800000000001</v>
      </c>
    </row>
    <row r="5" ht="17.25">
      <c r="A5" s="1">
        <v>10</v>
      </c>
      <c r="B5" s="1">
        <v>8</v>
      </c>
      <c r="C5" s="1">
        <v>0</v>
      </c>
      <c r="E5" s="1">
        <f t="shared" si="0"/>
        <v>1.1904908326443508</v>
      </c>
      <c r="F5" s="1">
        <f t="shared" si="1"/>
        <v>0.20624575979359153</v>
      </c>
      <c r="H5" s="2">
        <f t="shared" si="2"/>
        <v>-1.9909449062940028</v>
      </c>
      <c r="I5" s="1">
        <f t="shared" si="3"/>
        <v>0</v>
      </c>
      <c r="J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P5" s="1">
        <f t="shared" si="8"/>
        <v>0</v>
      </c>
      <c r="Q5" s="1">
        <f t="shared" si="9"/>
        <v>-1.8380705909670572</v>
      </c>
      <c r="R5" s="1">
        <f t="shared" si="10"/>
        <v>0.95643800000000001</v>
      </c>
    </row>
    <row r="6" ht="17.25">
      <c r="A6" s="1">
        <v>1</v>
      </c>
      <c r="B6" s="1">
        <v>0</v>
      </c>
      <c r="C6" s="1">
        <v>1</v>
      </c>
      <c r="E6" s="1">
        <f t="shared" si="0"/>
        <v>-1.8276549402568203</v>
      </c>
      <c r="F6" s="1">
        <f t="shared" si="1"/>
        <v>-1.6270498828161102</v>
      </c>
      <c r="H6" s="2">
        <f t="shared" si="2"/>
        <v>1.8031864603008403</v>
      </c>
      <c r="I6" s="1">
        <f t="shared" si="3"/>
        <v>1</v>
      </c>
      <c r="J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P6" s="1">
        <f t="shared" si="8"/>
        <v>0</v>
      </c>
      <c r="Q6" s="1">
        <f t="shared" si="9"/>
        <v>-1.8380705909670572</v>
      </c>
      <c r="R6" s="1">
        <f t="shared" si="10"/>
        <v>0.95643800000000001</v>
      </c>
    </row>
    <row r="7" ht="17.25">
      <c r="A7" s="1">
        <v>7</v>
      </c>
      <c r="B7" s="1">
        <v>5</v>
      </c>
      <c r="C7" s="1">
        <v>0</v>
      </c>
      <c r="E7" s="1">
        <f t="shared" si="0"/>
        <v>0.18444224167729373</v>
      </c>
      <c r="F7" s="1">
        <f t="shared" si="1"/>
        <v>-0.48124010618504659</v>
      </c>
      <c r="H7" s="2">
        <f t="shared" si="2"/>
        <v>-0.79929418483848558</v>
      </c>
      <c r="I7" s="1">
        <f t="shared" si="3"/>
        <v>0</v>
      </c>
      <c r="J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P7" s="1">
        <f t="shared" si="8"/>
        <v>0</v>
      </c>
      <c r="Q7" s="1">
        <f t="shared" si="9"/>
        <v>-1.8380705909670572</v>
      </c>
      <c r="R7" s="1">
        <f t="shared" si="10"/>
        <v>0.95643800000000001</v>
      </c>
    </row>
    <row r="8" ht="17.25">
      <c r="A8" s="1">
        <v>6</v>
      </c>
      <c r="B8" s="1">
        <v>12</v>
      </c>
      <c r="C8" s="1">
        <v>1</v>
      </c>
      <c r="E8" s="1">
        <f t="shared" si="0"/>
        <v>-0.15090728864505862</v>
      </c>
      <c r="F8" s="1">
        <f t="shared" si="1"/>
        <v>1.1228935810984424</v>
      </c>
      <c r="H8" s="2">
        <f t="shared" si="2"/>
        <v>1.3513563401396913</v>
      </c>
      <c r="I8" s="1">
        <f t="shared" si="3"/>
        <v>1</v>
      </c>
      <c r="J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P8" s="1">
        <f t="shared" si="8"/>
        <v>0</v>
      </c>
      <c r="Q8" s="1">
        <f t="shared" si="9"/>
        <v>-1.8380705909670572</v>
      </c>
      <c r="R8" s="1">
        <f t="shared" si="10"/>
        <v>0.95643800000000001</v>
      </c>
    </row>
    <row r="9" ht="17.25">
      <c r="A9" s="1">
        <v>10</v>
      </c>
      <c r="B9" s="1">
        <v>11</v>
      </c>
      <c r="C9" s="1">
        <v>0</v>
      </c>
      <c r="E9" s="1">
        <f t="shared" si="0"/>
        <v>1.1904908326443508</v>
      </c>
      <c r="F9" s="1">
        <f t="shared" si="1"/>
        <v>0.89373162577222964</v>
      </c>
      <c r="H9" s="2">
        <f t="shared" si="2"/>
        <v>-1.3334072996091262</v>
      </c>
      <c r="I9" s="1">
        <f t="shared" si="3"/>
        <v>0</v>
      </c>
      <c r="J9" s="1">
        <f t="shared" si="4"/>
        <v>0</v>
      </c>
      <c r="L9" s="1">
        <f t="shared" si="5"/>
        <v>0</v>
      </c>
      <c r="M9" s="1">
        <f t="shared" si="6"/>
        <v>0</v>
      </c>
      <c r="N9" s="1">
        <f t="shared" si="7"/>
        <v>0</v>
      </c>
      <c r="P9" s="1">
        <f t="shared" si="8"/>
        <v>0</v>
      </c>
      <c r="Q9" s="1">
        <f t="shared" si="9"/>
        <v>-1.8380705909670572</v>
      </c>
      <c r="R9" s="1">
        <f t="shared" si="10"/>
        <v>0.95643800000000001</v>
      </c>
    </row>
    <row r="10" ht="17.25">
      <c r="A10" s="1">
        <v>11</v>
      </c>
      <c r="B10" s="1">
        <v>6</v>
      </c>
      <c r="C10" s="1">
        <v>0</v>
      </c>
      <c r="E10" s="1">
        <f t="shared" ref="E10:E21" si="11">(A10-A$24)/A$27</f>
        <v>1.5258403629667032</v>
      </c>
      <c r="F10" s="1">
        <f t="shared" ref="F10:F21" si="12">(B10-B$24)/B$27</f>
        <v>-0.25207815085883389</v>
      </c>
      <c r="H10" s="2">
        <f t="shared" ref="H10:H21" si="13">P10+(Q10*E10)+(R10*F10)</f>
        <v>-3.0456994201307186</v>
      </c>
      <c r="I10" s="1">
        <f t="shared" ref="I10:I21" si="14">IF($H10&gt;=0,1,0)</f>
        <v>0</v>
      </c>
      <c r="J10" s="1">
        <f t="shared" ref="J10:J21" si="15">$C10-$I10</f>
        <v>0</v>
      </c>
      <c r="L10" s="1">
        <f t="shared" ref="L10:L21" si="16">$D$32*$J10</f>
        <v>0</v>
      </c>
      <c r="M10" s="1">
        <f t="shared" ref="M10:M21" si="17">$D$32*$J10*E10</f>
        <v>0</v>
      </c>
      <c r="N10" s="1">
        <f t="shared" ref="N10:N21" si="18">$D$32*$J10*F10</f>
        <v>0</v>
      </c>
      <c r="P10" s="1">
        <f t="shared" si="8"/>
        <v>0</v>
      </c>
      <c r="Q10" s="1">
        <f t="shared" si="9"/>
        <v>-1.8380705909670572</v>
      </c>
      <c r="R10" s="1">
        <f t="shared" si="10"/>
        <v>0.95643800000000001</v>
      </c>
    </row>
    <row r="11" ht="17.25">
      <c r="A11" s="1">
        <v>4</v>
      </c>
      <c r="B11" s="1">
        <v>13</v>
      </c>
      <c r="C11" s="1">
        <v>1</v>
      </c>
      <c r="E11" s="1">
        <f t="shared" si="11"/>
        <v>-0.82160634928976328</v>
      </c>
      <c r="F11" s="1">
        <f t="shared" si="12"/>
        <v>1.3520555364246551</v>
      </c>
      <c r="H11" s="2">
        <f t="shared" si="13"/>
        <v>2.8033277611282461</v>
      </c>
      <c r="I11" s="1">
        <f t="shared" si="14"/>
        <v>1</v>
      </c>
      <c r="J11" s="1">
        <f t="shared" si="15"/>
        <v>0</v>
      </c>
      <c r="L11" s="1">
        <f t="shared" si="16"/>
        <v>0</v>
      </c>
      <c r="M11" s="1">
        <f t="shared" si="17"/>
        <v>0</v>
      </c>
      <c r="N11" s="1">
        <f t="shared" si="18"/>
        <v>0</v>
      </c>
      <c r="P11" s="1">
        <f t="shared" ref="P11:P22" si="19">IF(ISNUMBER(P10),P10+L10,$A$32)</f>
        <v>0</v>
      </c>
      <c r="Q11" s="1">
        <f t="shared" ref="Q11:Q22" si="20">IF(ISNUMBER(Q10),Q10+M10,$B$32)</f>
        <v>-1.8380705909670572</v>
      </c>
      <c r="R11" s="1">
        <f t="shared" ref="R11:R22" si="21">IF(ISNUMBER(R10),R10+N10,$C$32)</f>
        <v>0.95643800000000001</v>
      </c>
    </row>
    <row r="12" ht="17.25">
      <c r="A12" s="1">
        <v>7</v>
      </c>
      <c r="B12" s="1">
        <v>4</v>
      </c>
      <c r="C12" s="1">
        <v>0</v>
      </c>
      <c r="E12" s="1">
        <f t="shared" si="11"/>
        <v>0.18444224167729373</v>
      </c>
      <c r="F12" s="1">
        <f t="shared" si="12"/>
        <v>-0.71040206151125929</v>
      </c>
      <c r="H12" s="2">
        <f t="shared" si="13"/>
        <v>-1.0184733870667779</v>
      </c>
      <c r="I12" s="1">
        <f t="shared" si="14"/>
        <v>0</v>
      </c>
      <c r="J12" s="1">
        <f t="shared" si="15"/>
        <v>0</v>
      </c>
      <c r="L12" s="1">
        <f t="shared" si="16"/>
        <v>0</v>
      </c>
      <c r="M12" s="1">
        <f t="shared" si="17"/>
        <v>0</v>
      </c>
      <c r="N12" s="1">
        <f t="shared" si="18"/>
        <v>0</v>
      </c>
      <c r="P12" s="1">
        <f t="shared" si="19"/>
        <v>0</v>
      </c>
      <c r="Q12" s="1">
        <f t="shared" si="20"/>
        <v>-1.8380705909670572</v>
      </c>
      <c r="R12" s="1">
        <f t="shared" si="21"/>
        <v>0.95643800000000001</v>
      </c>
    </row>
    <row r="13" ht="17.25">
      <c r="A13" s="1">
        <v>3</v>
      </c>
      <c r="B13" s="1">
        <v>3</v>
      </c>
      <c r="C13" s="1">
        <v>1</v>
      </c>
      <c r="E13" s="1">
        <f t="shared" si="11"/>
        <v>-1.1569558796121158</v>
      </c>
      <c r="F13" s="1">
        <f t="shared" si="12"/>
        <v>-0.93956401683747204</v>
      </c>
      <c r="H13" s="2">
        <f t="shared" si="13"/>
        <v>1.2279318482254551</v>
      </c>
      <c r="I13" s="1">
        <f t="shared" si="14"/>
        <v>1</v>
      </c>
      <c r="J13" s="1">
        <f t="shared" si="15"/>
        <v>0</v>
      </c>
      <c r="L13" s="1">
        <f t="shared" si="16"/>
        <v>0</v>
      </c>
      <c r="M13" s="1">
        <f t="shared" si="17"/>
        <v>0</v>
      </c>
      <c r="N13" s="1">
        <f t="shared" si="18"/>
        <v>0</v>
      </c>
      <c r="P13" s="1">
        <f t="shared" si="19"/>
        <v>0</v>
      </c>
      <c r="Q13" s="1">
        <f t="shared" si="20"/>
        <v>-1.8380705909670572</v>
      </c>
      <c r="R13" s="1">
        <f t="shared" si="21"/>
        <v>0.95643800000000001</v>
      </c>
    </row>
    <row r="14" ht="17.25">
      <c r="A14" s="1">
        <v>9</v>
      </c>
      <c r="B14" s="1">
        <v>2</v>
      </c>
      <c r="C14" s="1">
        <v>0</v>
      </c>
      <c r="E14" s="1">
        <f t="shared" si="11"/>
        <v>0.85514130232199848</v>
      </c>
      <c r="F14" s="1">
        <f t="shared" si="12"/>
        <v>-1.1687259721636847</v>
      </c>
      <c r="H14" s="2">
        <f t="shared" si="13"/>
        <v>-2.6896240102836249</v>
      </c>
      <c r="I14" s="1">
        <f t="shared" si="14"/>
        <v>0</v>
      </c>
      <c r="J14" s="1">
        <f t="shared" si="15"/>
        <v>0</v>
      </c>
      <c r="L14" s="1">
        <f t="shared" si="16"/>
        <v>0</v>
      </c>
      <c r="M14" s="1">
        <f t="shared" si="17"/>
        <v>0</v>
      </c>
      <c r="N14" s="1">
        <f t="shared" si="18"/>
        <v>0</v>
      </c>
      <c r="P14" s="1">
        <f t="shared" si="19"/>
        <v>0</v>
      </c>
      <c r="Q14" s="1">
        <f t="shared" si="20"/>
        <v>-1.8380705909670572</v>
      </c>
      <c r="R14" s="1">
        <f t="shared" si="21"/>
        <v>0.95643800000000001</v>
      </c>
    </row>
    <row r="15" ht="17.25">
      <c r="A15" s="1">
        <v>5</v>
      </c>
      <c r="B15" s="1">
        <v>8</v>
      </c>
      <c r="C15" s="1">
        <v>1</v>
      </c>
      <c r="E15" s="1">
        <f t="shared" si="11"/>
        <v>-0.48625681896741096</v>
      </c>
      <c r="F15" s="1">
        <f t="shared" si="12"/>
        <v>0.20624575979359153</v>
      </c>
      <c r="H15" s="2">
        <f t="shared" si="13"/>
        <v>1.0910356406066535</v>
      </c>
      <c r="I15" s="1">
        <f t="shared" si="14"/>
        <v>1</v>
      </c>
      <c r="J15" s="1">
        <f t="shared" si="15"/>
        <v>0</v>
      </c>
      <c r="L15" s="1">
        <f t="shared" si="16"/>
        <v>0</v>
      </c>
      <c r="M15" s="1">
        <f t="shared" si="17"/>
        <v>0</v>
      </c>
      <c r="N15" s="1">
        <f t="shared" si="18"/>
        <v>0</v>
      </c>
      <c r="P15" s="1">
        <f t="shared" si="19"/>
        <v>0</v>
      </c>
      <c r="Q15" s="1">
        <f t="shared" si="20"/>
        <v>-1.8380705909670572</v>
      </c>
      <c r="R15" s="1">
        <f t="shared" si="21"/>
        <v>0.95643800000000001</v>
      </c>
    </row>
    <row r="16" ht="17.25">
      <c r="A16" s="1">
        <v>7</v>
      </c>
      <c r="B16" s="1">
        <v>14</v>
      </c>
      <c r="C16" s="1">
        <v>1</v>
      </c>
      <c r="E16" s="1">
        <f t="shared" si="11"/>
        <v>0.18444224167729373</v>
      </c>
      <c r="F16" s="1">
        <f t="shared" si="12"/>
        <v>1.5812174917508679</v>
      </c>
      <c r="H16" s="2">
        <f t="shared" si="13"/>
        <v>1.1733186352161444</v>
      </c>
      <c r="I16" s="1">
        <f t="shared" si="14"/>
        <v>1</v>
      </c>
      <c r="J16" s="1">
        <f t="shared" si="15"/>
        <v>0</v>
      </c>
      <c r="L16" s="1">
        <f t="shared" si="16"/>
        <v>0</v>
      </c>
      <c r="M16" s="1">
        <f t="shared" si="17"/>
        <v>0</v>
      </c>
      <c r="N16" s="1">
        <f t="shared" si="18"/>
        <v>0</v>
      </c>
      <c r="P16" s="1">
        <f t="shared" si="19"/>
        <v>0</v>
      </c>
      <c r="Q16" s="1">
        <f t="shared" si="20"/>
        <v>-1.8380705909670572</v>
      </c>
      <c r="R16" s="1">
        <f t="shared" si="21"/>
        <v>0.95643800000000001</v>
      </c>
    </row>
    <row r="17" ht="17.25">
      <c r="A17" s="1">
        <v>5</v>
      </c>
      <c r="B17" s="1">
        <v>12</v>
      </c>
      <c r="C17" s="1">
        <v>1</v>
      </c>
      <c r="E17" s="1">
        <f t="shared" si="11"/>
        <v>-0.48625681896741096</v>
      </c>
      <c r="F17" s="1">
        <f t="shared" si="12"/>
        <v>1.1228935810984424</v>
      </c>
      <c r="H17" s="2">
        <f t="shared" si="13"/>
        <v>1.9677524495198224</v>
      </c>
      <c r="I17" s="1">
        <f t="shared" si="14"/>
        <v>1</v>
      </c>
      <c r="J17" s="1">
        <f t="shared" si="15"/>
        <v>0</v>
      </c>
      <c r="L17" s="1">
        <f t="shared" si="16"/>
        <v>0</v>
      </c>
      <c r="M17" s="1">
        <f t="shared" si="17"/>
        <v>0</v>
      </c>
      <c r="N17" s="1">
        <f t="shared" si="18"/>
        <v>0</v>
      </c>
      <c r="P17" s="1">
        <f t="shared" si="19"/>
        <v>0</v>
      </c>
      <c r="Q17" s="1">
        <f t="shared" si="20"/>
        <v>-1.8380705909670572</v>
      </c>
      <c r="R17" s="1">
        <f t="shared" si="21"/>
        <v>0.95643800000000001</v>
      </c>
    </row>
    <row r="18" ht="17.25">
      <c r="A18" s="1">
        <v>7</v>
      </c>
      <c r="B18" s="1">
        <v>4</v>
      </c>
      <c r="C18" s="1">
        <v>0</v>
      </c>
      <c r="E18" s="1">
        <f t="shared" si="11"/>
        <v>0.18444224167729373</v>
      </c>
      <c r="F18" s="1">
        <f t="shared" si="12"/>
        <v>-0.71040206151125929</v>
      </c>
      <c r="H18" s="2">
        <f t="shared" si="13"/>
        <v>-1.0184733870667779</v>
      </c>
      <c r="I18" s="1">
        <f t="shared" si="14"/>
        <v>0</v>
      </c>
      <c r="J18" s="1">
        <f t="shared" si="15"/>
        <v>0</v>
      </c>
      <c r="L18" s="1">
        <f t="shared" si="16"/>
        <v>0</v>
      </c>
      <c r="M18" s="1">
        <f t="shared" si="17"/>
        <v>0</v>
      </c>
      <c r="N18" s="1">
        <f t="shared" si="18"/>
        <v>0</v>
      </c>
      <c r="P18" s="1">
        <f t="shared" si="19"/>
        <v>0</v>
      </c>
      <c r="Q18" s="1">
        <f t="shared" si="20"/>
        <v>-1.8380705909670572</v>
      </c>
      <c r="R18" s="1">
        <f t="shared" si="21"/>
        <v>0.95643800000000001</v>
      </c>
    </row>
    <row r="19" ht="17.25">
      <c r="A19" s="1">
        <v>11</v>
      </c>
      <c r="B19" s="1">
        <v>13</v>
      </c>
      <c r="C19" s="1">
        <v>0</v>
      </c>
      <c r="E19" s="1">
        <f t="shared" si="11"/>
        <v>1.5258403629667032</v>
      </c>
      <c r="F19" s="1">
        <f t="shared" si="12"/>
        <v>1.3520555364246551</v>
      </c>
      <c r="H19" s="2">
        <f t="shared" si="13"/>
        <v>-1.5114450045326726</v>
      </c>
      <c r="I19" s="1">
        <f t="shared" si="14"/>
        <v>0</v>
      </c>
      <c r="J19" s="1">
        <f t="shared" si="15"/>
        <v>0</v>
      </c>
      <c r="L19" s="1">
        <f t="shared" si="16"/>
        <v>0</v>
      </c>
      <c r="M19" s="1">
        <f t="shared" si="17"/>
        <v>0</v>
      </c>
      <c r="N19" s="1">
        <f t="shared" si="18"/>
        <v>0</v>
      </c>
      <c r="P19" s="1">
        <f t="shared" si="19"/>
        <v>0</v>
      </c>
      <c r="Q19" s="1">
        <f t="shared" si="20"/>
        <v>-1.8380705909670572</v>
      </c>
      <c r="R19" s="1">
        <f t="shared" si="21"/>
        <v>0.95643800000000001</v>
      </c>
    </row>
    <row r="20" ht="17.25">
      <c r="A20" s="1">
        <v>8</v>
      </c>
      <c r="B20" s="1">
        <v>4</v>
      </c>
      <c r="C20" s="1">
        <v>0</v>
      </c>
      <c r="E20" s="1">
        <f t="shared" si="11"/>
        <v>0.5197917719996461</v>
      </c>
      <c r="F20" s="1">
        <f t="shared" si="12"/>
        <v>-0.71040206151125929</v>
      </c>
      <c r="H20" s="2">
        <f t="shared" si="13"/>
        <v>-1.634869496446909</v>
      </c>
      <c r="I20" s="1">
        <f t="shared" si="14"/>
        <v>0</v>
      </c>
      <c r="J20" s="1">
        <f t="shared" si="15"/>
        <v>0</v>
      </c>
      <c r="L20" s="1">
        <f t="shared" si="16"/>
        <v>0</v>
      </c>
      <c r="M20" s="1">
        <f t="shared" si="17"/>
        <v>0</v>
      </c>
      <c r="N20" s="1">
        <f t="shared" si="18"/>
        <v>0</v>
      </c>
      <c r="P20" s="1">
        <f t="shared" si="19"/>
        <v>0</v>
      </c>
      <c r="Q20" s="1">
        <f t="shared" si="20"/>
        <v>-1.8380705909670572</v>
      </c>
      <c r="R20" s="1">
        <f t="shared" si="21"/>
        <v>0.95643800000000001</v>
      </c>
    </row>
    <row r="21" ht="17.25">
      <c r="A21" s="1">
        <v>2</v>
      </c>
      <c r="B21" s="1">
        <v>2</v>
      </c>
      <c r="C21" s="1">
        <v>1</v>
      </c>
      <c r="E21" s="1">
        <f t="shared" si="11"/>
        <v>-1.4923054099344681</v>
      </c>
      <c r="F21" s="1">
        <f t="shared" si="12"/>
        <v>-1.1687259721636847</v>
      </c>
      <c r="H21" s="2">
        <f t="shared" si="13"/>
        <v>1.6251487553772941</v>
      </c>
      <c r="I21" s="1">
        <f t="shared" si="14"/>
        <v>1</v>
      </c>
      <c r="J21" s="1">
        <f t="shared" si="15"/>
        <v>0</v>
      </c>
      <c r="L21" s="1">
        <f t="shared" si="16"/>
        <v>0</v>
      </c>
      <c r="M21" s="1">
        <f t="shared" si="17"/>
        <v>0</v>
      </c>
      <c r="N21" s="1">
        <f t="shared" si="18"/>
        <v>0</v>
      </c>
      <c r="P21" s="1">
        <f t="shared" si="19"/>
        <v>0</v>
      </c>
      <c r="Q21" s="1">
        <f t="shared" si="20"/>
        <v>-1.8380705909670572</v>
      </c>
      <c r="R21" s="1">
        <f t="shared" si="21"/>
        <v>0.95643800000000001</v>
      </c>
    </row>
    <row r="22" ht="17.25">
      <c r="M22" s="2"/>
      <c r="N22" s="2"/>
      <c r="P22" s="1">
        <f t="shared" si="19"/>
        <v>0</v>
      </c>
      <c r="Q22" s="1">
        <f t="shared" si="20"/>
        <v>-1.8380705909670572</v>
      </c>
      <c r="R22" s="1">
        <f t="shared" si="21"/>
        <v>0.95643800000000001</v>
      </c>
    </row>
    <row r="23" ht="17.25">
      <c r="A23" s="3" t="s">
        <v>15</v>
      </c>
      <c r="B23" s="3"/>
      <c r="E23" s="1"/>
      <c r="L23" s="1" t="s">
        <v>16</v>
      </c>
      <c r="M23" s="2" t="s">
        <v>16</v>
      </c>
      <c r="N23" s="2" t="s">
        <v>16</v>
      </c>
    </row>
    <row r="24" ht="17.25">
      <c r="A24" s="3">
        <f>AVERAGE(A2:A21)</f>
        <v>6.4500000000000002</v>
      </c>
      <c r="B24" s="3">
        <f>AVERAGE(B2:B21)</f>
        <v>7.0999999999999996</v>
      </c>
      <c r="E24" s="1"/>
      <c r="F24" s="1"/>
      <c r="L24" s="1">
        <f>SUM(L2:L21)</f>
        <v>0</v>
      </c>
      <c r="M24" s="1">
        <f>SUM(M2:M21)</f>
        <v>0</v>
      </c>
      <c r="N24" s="1">
        <f>SUM(N2:N21)</f>
        <v>0</v>
      </c>
    </row>
    <row r="25" ht="14.25">
      <c r="E25" s="1"/>
      <c r="F25" s="1"/>
    </row>
    <row r="26" ht="17.25">
      <c r="A26" s="3" t="s">
        <v>17</v>
      </c>
      <c r="B26" s="3"/>
      <c r="E26" s="1"/>
      <c r="F26" s="1"/>
    </row>
    <row r="27" ht="17.25">
      <c r="A27" s="3">
        <f>STDEV(A2:A21)</f>
        <v>2.9819633235769172</v>
      </c>
      <c r="B27" s="3">
        <f>STDEV(B2:B21)</f>
        <v>4.3637260756328295</v>
      </c>
      <c r="E27" s="1"/>
      <c r="F27" s="1"/>
    </row>
    <row r="28" ht="17.25">
      <c r="E28" s="1"/>
      <c r="F28" s="1" t="s">
        <v>18</v>
      </c>
      <c r="G28" s="1"/>
      <c r="H28" s="1"/>
      <c r="I28" s="1"/>
    </row>
    <row r="29" ht="14.25">
      <c r="A29" s="1"/>
      <c r="B29" s="1"/>
      <c r="C29" s="1"/>
      <c r="D29" s="1"/>
      <c r="E29" s="1"/>
      <c r="F29" s="1"/>
    </row>
    <row r="30" ht="17.25">
      <c r="A30" s="4" t="s">
        <v>19</v>
      </c>
      <c r="B30" s="5"/>
      <c r="C30" s="5"/>
      <c r="D30" s="6"/>
      <c r="E30" s="1"/>
      <c r="F30" s="4" t="s">
        <v>20</v>
      </c>
      <c r="G30" s="5"/>
      <c r="H30" s="5"/>
      <c r="I30" s="6"/>
      <c r="J30" s="1"/>
    </row>
    <row r="31" ht="17.25">
      <c r="A31" s="7" t="s">
        <v>21</v>
      </c>
      <c r="B31" s="7" t="s">
        <v>22</v>
      </c>
      <c r="C31" s="7" t="s">
        <v>23</v>
      </c>
      <c r="D31" s="7" t="s">
        <v>24</v>
      </c>
      <c r="E31" s="1"/>
      <c r="F31" s="7" t="s">
        <v>21</v>
      </c>
      <c r="G31" s="8" t="s">
        <v>22</v>
      </c>
      <c r="H31" s="8" t="s">
        <v>23</v>
      </c>
      <c r="I31" s="7" t="s">
        <v>24</v>
      </c>
      <c r="J31" s="1"/>
      <c r="K31" s="1"/>
      <c r="L31" s="1"/>
      <c r="M31" s="1"/>
    </row>
    <row r="32" ht="17.25">
      <c r="A32" s="9">
        <v>0</v>
      </c>
      <c r="B32" s="9">
        <v>-1.8380705909670572</v>
      </c>
      <c r="C32" s="9">
        <v>0.95643800000000001</v>
      </c>
      <c r="D32" s="9">
        <v>0.5</v>
      </c>
      <c r="E32" s="1"/>
      <c r="F32" s="9">
        <v>1.381</v>
      </c>
      <c r="G32" s="9">
        <v>-0.27900000000000003</v>
      </c>
      <c r="H32" s="9">
        <v>0.058799999999999998</v>
      </c>
      <c r="I32" s="9">
        <v>0.5</v>
      </c>
      <c r="J32" s="1"/>
      <c r="K32" s="1"/>
      <c r="L32" s="1"/>
      <c r="M32" s="1"/>
    </row>
    <row r="33" ht="14.25">
      <c r="E33" s="1"/>
      <c r="F33" s="1"/>
    </row>
    <row r="34" ht="14.25">
      <c r="E34" s="1"/>
      <c r="F34" s="1"/>
      <c r="J34" s="1"/>
      <c r="K34" s="1"/>
    </row>
    <row r="35" ht="17.25">
      <c r="A35" s="10" t="s">
        <v>25</v>
      </c>
      <c r="E35" s="1"/>
      <c r="F35" s="10" t="s">
        <v>25</v>
      </c>
      <c r="G35" s="11"/>
      <c r="J35" s="1"/>
    </row>
    <row r="36" ht="17.25">
      <c r="A36" s="12" t="s">
        <v>26</v>
      </c>
      <c r="E36" s="1"/>
      <c r="F36" s="7" t="s">
        <v>26</v>
      </c>
      <c r="J36" s="1"/>
    </row>
    <row r="37" ht="17.25">
      <c r="A37" s="12" t="s">
        <v>27</v>
      </c>
      <c r="E37" s="1"/>
      <c r="F37" s="8" t="s">
        <v>28</v>
      </c>
      <c r="G37" s="1"/>
      <c r="J37" s="1"/>
    </row>
    <row r="38" ht="17.25">
      <c r="A38" s="13" t="s">
        <v>29</v>
      </c>
      <c r="E38" s="1"/>
      <c r="F38" s="9" t="s">
        <v>30</v>
      </c>
      <c r="G38" s="1"/>
      <c r="H38" s="1"/>
      <c r="J38" s="1"/>
    </row>
    <row r="39" ht="14.25">
      <c r="A39" s="1"/>
      <c r="E39" s="1"/>
      <c r="F39" s="1"/>
      <c r="G39" s="1"/>
      <c r="H39" s="1"/>
      <c r="J39" s="1"/>
      <c r="K39" s="1"/>
    </row>
    <row r="40" ht="17.25">
      <c r="A40" s="14" t="s">
        <v>31</v>
      </c>
      <c r="B40" s="14" t="s">
        <v>32</v>
      </c>
      <c r="E40" s="1"/>
      <c r="F40" s="14" t="s">
        <v>31</v>
      </c>
      <c r="G40" s="14" t="s">
        <v>32</v>
      </c>
      <c r="H40" s="1"/>
      <c r="J40" s="1"/>
      <c r="K40" s="1"/>
    </row>
    <row r="41" ht="17.25">
      <c r="A41" s="3">
        <f t="shared" ref="A41:A42" si="22">((-$B$32)*$B41-$A$32)/$C$32</f>
        <v>-3.8435749959057612</v>
      </c>
      <c r="B41" s="3">
        <v>-2</v>
      </c>
      <c r="E41" s="1"/>
      <c r="F41" s="3">
        <f t="shared" ref="F41:F42" si="23">((-$G$32)*$G41-$F$32)/$H$32</f>
        <v>-23.486394557823129</v>
      </c>
      <c r="G41" s="3">
        <v>0</v>
      </c>
      <c r="H41" s="1"/>
      <c r="J41" s="1"/>
      <c r="K41" s="1"/>
    </row>
    <row r="42" ht="17.25">
      <c r="A42" s="3">
        <f t="shared" si="22"/>
        <v>3.8435749959057612</v>
      </c>
      <c r="B42" s="3">
        <v>2</v>
      </c>
      <c r="E42" s="1"/>
      <c r="F42" s="3">
        <f t="shared" si="23"/>
        <v>33.452380952380956</v>
      </c>
      <c r="G42" s="3">
        <v>12</v>
      </c>
      <c r="H42" s="1"/>
    </row>
    <row r="43" ht="14.25">
      <c r="A43" s="1"/>
      <c r="B43" s="1"/>
      <c r="E43" s="1"/>
      <c r="F43" s="1"/>
      <c r="G43" s="1"/>
      <c r="H43" s="1"/>
    </row>
    <row r="44" ht="14.25">
      <c r="E44" s="1"/>
      <c r="F44" s="1"/>
      <c r="G44" s="1"/>
      <c r="H44" s="1"/>
    </row>
    <row r="45" ht="14.25">
      <c r="C45" s="1"/>
      <c r="E45" s="1"/>
      <c r="F45" s="1"/>
      <c r="G45" s="1"/>
      <c r="H45" s="1"/>
    </row>
    <row r="46" ht="14.25">
      <c r="A46" s="1"/>
      <c r="B46" s="1"/>
      <c r="C46" s="1"/>
      <c r="D46" s="1"/>
      <c r="E46" s="1"/>
      <c r="F46" s="1"/>
      <c r="G46" s="1"/>
      <c r="H46" s="1"/>
    </row>
    <row r="47" ht="14.25">
      <c r="A47" s="1"/>
      <c r="B47" s="1"/>
      <c r="C47" s="1"/>
      <c r="D47" s="1"/>
      <c r="E47" s="1"/>
      <c r="F47" s="1"/>
      <c r="G47" s="1"/>
      <c r="H47" s="1"/>
    </row>
    <row r="48" ht="14.25">
      <c r="A48" s="1"/>
      <c r="B48" s="1"/>
      <c r="C48" s="1"/>
      <c r="D48" s="1"/>
      <c r="E48" s="1"/>
      <c r="F48" s="1"/>
      <c r="G48" s="1"/>
      <c r="H48" s="1"/>
    </row>
    <row r="49" ht="14.25">
      <c r="A49" s="1"/>
      <c r="B49" s="1"/>
      <c r="C49" s="1"/>
      <c r="D49" s="1"/>
      <c r="E49" s="1"/>
      <c r="F49" s="1"/>
      <c r="G49" s="1"/>
      <c r="H49" s="1"/>
    </row>
    <row r="50" ht="14.25">
      <c r="A50" s="1"/>
      <c r="B50" s="1"/>
      <c r="C50" s="1"/>
      <c r="D50" s="1"/>
      <c r="E50" s="1"/>
      <c r="F50" s="1"/>
      <c r="G50" s="1"/>
      <c r="H50" s="1"/>
    </row>
    <row r="51" ht="14.25">
      <c r="A51" s="1"/>
      <c r="B51" s="1"/>
      <c r="C51" s="1"/>
      <c r="D51" s="1"/>
      <c r="E51" s="1"/>
      <c r="F51" s="1"/>
      <c r="G51" s="1"/>
      <c r="H51" s="1"/>
    </row>
    <row r="52" ht="14.25">
      <c r="A52" s="1"/>
      <c r="B52" s="1"/>
      <c r="C52" s="1"/>
      <c r="D52" s="1"/>
      <c r="E52" s="1"/>
      <c r="F52" s="1"/>
      <c r="G52" s="1"/>
      <c r="H52" s="1"/>
    </row>
    <row r="53" ht="14.25">
      <c r="A53" s="1"/>
      <c r="B53" s="1"/>
      <c r="C53" s="1"/>
      <c r="D53" s="1"/>
      <c r="E53" s="1"/>
      <c r="F53" s="1"/>
      <c r="G53" s="1"/>
      <c r="H53" s="1"/>
    </row>
    <row r="54" ht="14.25">
      <c r="A54" s="1"/>
      <c r="B54" s="1"/>
      <c r="C54" s="1"/>
      <c r="D54" s="1"/>
      <c r="E54" s="1"/>
      <c r="F54" s="1"/>
      <c r="G54" s="1"/>
      <c r="H54" s="1"/>
    </row>
    <row r="55" ht="14.25">
      <c r="A55" s="1"/>
      <c r="B55" s="1"/>
      <c r="C55" s="1"/>
      <c r="D55" s="1"/>
      <c r="E55" s="1"/>
      <c r="F55" s="1"/>
      <c r="G55" s="1"/>
      <c r="H55" s="1"/>
    </row>
    <row r="56" ht="14.25">
      <c r="E56" s="1"/>
      <c r="F56" s="1"/>
      <c r="G56" s="1"/>
      <c r="H56" s="1"/>
    </row>
    <row r="57" ht="14.25">
      <c r="E57" s="1"/>
      <c r="F57" s="1"/>
      <c r="G57" s="1"/>
      <c r="H57" s="1"/>
    </row>
    <row r="58" ht="14.25">
      <c r="E58" s="1"/>
      <c r="F58" s="1"/>
      <c r="G58" s="1"/>
      <c r="H58" s="1"/>
    </row>
    <row r="59" ht="14.25">
      <c r="E59" s="1"/>
      <c r="F59" s="1"/>
      <c r="G59" s="1"/>
      <c r="H59" s="1"/>
    </row>
    <row r="60" ht="17.25">
      <c r="A60" s="15" t="s">
        <v>33</v>
      </c>
      <c r="B60" s="16"/>
      <c r="C60" s="17" t="s">
        <v>34</v>
      </c>
      <c r="D60" s="18"/>
      <c r="E60" s="1"/>
      <c r="F60" s="19" t="s">
        <v>35</v>
      </c>
      <c r="G60" s="20"/>
      <c r="H60" s="17" t="s">
        <v>36</v>
      </c>
      <c r="I60" s="18"/>
    </row>
    <row r="61" ht="17.25">
      <c r="A61" s="21" t="s">
        <v>3</v>
      </c>
      <c r="B61" s="21" t="s">
        <v>4</v>
      </c>
      <c r="C61" s="22" t="s">
        <v>3</v>
      </c>
      <c r="D61" s="22" t="s">
        <v>4</v>
      </c>
      <c r="E61" s="1"/>
      <c r="F61" s="21" t="s">
        <v>0</v>
      </c>
      <c r="G61" s="21" t="s">
        <v>1</v>
      </c>
      <c r="H61" s="22" t="s">
        <v>0</v>
      </c>
      <c r="I61" s="22" t="s">
        <v>1</v>
      </c>
    </row>
    <row r="62" ht="17.25">
      <c r="A62" s="21">
        <f t="shared" ref="A62:A63" si="24">IF(C2=1,E2,NA())</f>
        <v>-1.4923054099344681</v>
      </c>
      <c r="B62" s="21">
        <f t="shared" ref="B62:B63" si="25">IF(C2=1,F2,NA())</f>
        <v>-0.25207815085883389</v>
      </c>
      <c r="C62" s="22">
        <f t="shared" ref="C62:C63" si="26">IF(C4=0,E4,NA())</f>
        <v>0.18444224167729373</v>
      </c>
      <c r="D62" s="22">
        <f t="shared" ref="D62:D63" si="27">IF(C4=0,F4,NA())</f>
        <v>-0.71040206151125929</v>
      </c>
      <c r="E62" s="1"/>
      <c r="F62" s="21">
        <f t="shared" ref="F62:F63" si="28">IF(C2=1,A2,NA())</f>
        <v>2</v>
      </c>
      <c r="G62" s="21">
        <f t="shared" ref="G62:G63" si="29">IF(C2=1,B2,NA())</f>
        <v>6</v>
      </c>
      <c r="H62" s="22">
        <f t="shared" ref="H62:H63" si="30">IF(C4=0,A4,NA())</f>
        <v>7</v>
      </c>
      <c r="I62" s="22">
        <f t="shared" ref="I62:I63" si="31">IF(C4=0,B4,NA())</f>
        <v>4</v>
      </c>
    </row>
    <row r="63" ht="17.25">
      <c r="A63" s="21">
        <f t="shared" si="24"/>
        <v>0.18444224167729373</v>
      </c>
      <c r="B63" s="21">
        <f t="shared" si="25"/>
        <v>0.89373162577222964</v>
      </c>
      <c r="C63" s="22">
        <f t="shared" si="26"/>
        <v>1.1904908326443508</v>
      </c>
      <c r="D63" s="22">
        <f t="shared" si="27"/>
        <v>0.20624575979359153</v>
      </c>
      <c r="E63" s="1"/>
      <c r="F63" s="21">
        <f t="shared" si="28"/>
        <v>7</v>
      </c>
      <c r="G63" s="21">
        <f t="shared" si="29"/>
        <v>11</v>
      </c>
      <c r="H63" s="22">
        <f t="shared" si="30"/>
        <v>10</v>
      </c>
      <c r="I63" s="22">
        <f t="shared" si="31"/>
        <v>8</v>
      </c>
    </row>
    <row r="64" ht="17.25">
      <c r="A64" s="21">
        <f>IF(C6=1,E6,NA())</f>
        <v>-1.8276549402568203</v>
      </c>
      <c r="B64" s="21">
        <f>IF(C6=1,F6,NA())</f>
        <v>-1.6270498828161102</v>
      </c>
      <c r="C64" s="22">
        <f>IF(C7=0,E7,NA())</f>
        <v>0.18444224167729373</v>
      </c>
      <c r="D64" s="22">
        <f>IF(C7=0,F7,NA())</f>
        <v>-0.48124010618504659</v>
      </c>
      <c r="E64" s="1"/>
      <c r="F64" s="21">
        <f>IF(C6=1,A6,NA())</f>
        <v>1</v>
      </c>
      <c r="G64" s="21">
        <f>IF(C6=1,B6,NA())</f>
        <v>0</v>
      </c>
      <c r="H64" s="22">
        <f>IF(C7=0,A7,NA())</f>
        <v>7</v>
      </c>
      <c r="I64" s="22">
        <f>IF(C7=0,B7,NA())</f>
        <v>5</v>
      </c>
      <c r="J64" s="1"/>
      <c r="K64" s="1"/>
      <c r="L64" s="1"/>
      <c r="M64" s="1"/>
    </row>
    <row r="65" ht="14.25">
      <c r="A65" s="21">
        <f>IF(C8=1,E8,NA())</f>
        <v>-0.15090728864505862</v>
      </c>
      <c r="B65" s="21">
        <f>IF(C8=1,F8,NA())</f>
        <v>1.1228935810984424</v>
      </c>
      <c r="C65" s="22">
        <f>IF(C9=0,E9,NA())</f>
        <v>1.1904908326443508</v>
      </c>
      <c r="D65" s="22">
        <f>IF(C9=0,F9,NA())</f>
        <v>0.89373162577222964</v>
      </c>
      <c r="E65" s="1"/>
      <c r="F65" s="21">
        <f>IF(C8=1,A8,NA())</f>
        <v>6</v>
      </c>
      <c r="G65" s="21">
        <f>IF(C8=1,B8,NA())</f>
        <v>12</v>
      </c>
      <c r="H65" s="22">
        <f>IF(C9=0,A9,NA())</f>
        <v>10</v>
      </c>
      <c r="I65" s="22">
        <f>IF(C9=0,B9,NA())</f>
        <v>11</v>
      </c>
      <c r="J65" s="1"/>
      <c r="K65" s="1"/>
      <c r="L65" s="1"/>
      <c r="M65" s="1"/>
    </row>
    <row r="66" ht="14.25">
      <c r="A66" s="21">
        <f>IF(C11=1,E11,NA())</f>
        <v>-0.82160634928976328</v>
      </c>
      <c r="B66" s="21">
        <f>IF(C11=1,F11,NA())</f>
        <v>1.3520555364246551</v>
      </c>
      <c r="C66" s="22">
        <f>IF(C10=0,E10,NA())</f>
        <v>1.5258403629667032</v>
      </c>
      <c r="D66" s="22">
        <f>IF(C10=0,F10,NA())</f>
        <v>-0.25207815085883389</v>
      </c>
      <c r="E66" s="1"/>
      <c r="F66" s="21">
        <f>IF(C11=1,A11,NA())</f>
        <v>4</v>
      </c>
      <c r="G66" s="21">
        <f>IF(C11=1,B11,NA())</f>
        <v>13</v>
      </c>
      <c r="H66" s="22">
        <f>IF(C10=0,A10,NA())</f>
        <v>11</v>
      </c>
      <c r="I66" s="22">
        <f>IF(C10=0,B10,NA())</f>
        <v>6</v>
      </c>
      <c r="J66" s="1"/>
      <c r="K66" s="1"/>
      <c r="L66" s="1"/>
      <c r="M66" s="1"/>
    </row>
    <row r="67" ht="14.25">
      <c r="A67" s="21">
        <f>IF(C13=1,E13,NA())</f>
        <v>-1.1569558796121158</v>
      </c>
      <c r="B67" s="21">
        <f>IF(C13=1,F13,NA())</f>
        <v>-0.93956401683747204</v>
      </c>
      <c r="C67" s="22">
        <f>IF(C12=0,E12,NA())</f>
        <v>0.18444224167729373</v>
      </c>
      <c r="D67" s="22">
        <f>IF(C12=0,F12,NA())</f>
        <v>-0.71040206151125929</v>
      </c>
      <c r="E67" s="1"/>
      <c r="F67" s="21">
        <f>IF(C13=1,A13,NA())</f>
        <v>3</v>
      </c>
      <c r="G67" s="21">
        <f>IF(C13=1,B13,NA())</f>
        <v>3</v>
      </c>
      <c r="H67" s="22">
        <f>IF(C12=0,A12,NA())</f>
        <v>7</v>
      </c>
      <c r="I67" s="22">
        <f>IF(C12=0,B12,NA())</f>
        <v>4</v>
      </c>
      <c r="J67" s="1"/>
      <c r="K67" s="1"/>
      <c r="L67" s="1"/>
      <c r="M67" s="1"/>
    </row>
    <row r="68" ht="14.25">
      <c r="A68" s="21">
        <f t="shared" ref="A68:A70" si="32">IF(C15=1,E15,NA())</f>
        <v>-0.48625681896741096</v>
      </c>
      <c r="B68" s="21">
        <f t="shared" ref="B68:B70" si="33">IF(C15=1,F15,NA())</f>
        <v>0.20624575979359153</v>
      </c>
      <c r="C68" s="22">
        <f>IF(C14=0,E14,NA())</f>
        <v>0.85514130232199848</v>
      </c>
      <c r="D68" s="22">
        <f>IF(C14=0,F14,NA())</f>
        <v>-1.1687259721636847</v>
      </c>
      <c r="E68" s="1"/>
      <c r="F68" s="21">
        <f t="shared" ref="F68:F70" si="34">IF(C15=1,A15,NA())</f>
        <v>5</v>
      </c>
      <c r="G68" s="21">
        <f t="shared" ref="G68:G70" si="35">IF(C15=1,B15,NA())</f>
        <v>8</v>
      </c>
      <c r="H68" s="22">
        <f>IF(C14=0,A14,NA())</f>
        <v>9</v>
      </c>
      <c r="I68" s="22">
        <f>IF(C14=0,B14,NA())</f>
        <v>2</v>
      </c>
      <c r="J68" s="1"/>
      <c r="K68" s="1"/>
      <c r="L68" s="1"/>
      <c r="M68" s="1"/>
    </row>
    <row r="69" ht="14.25">
      <c r="A69" s="21">
        <f t="shared" si="32"/>
        <v>0.18444224167729373</v>
      </c>
      <c r="B69" s="21">
        <f t="shared" si="33"/>
        <v>1.5812174917508679</v>
      </c>
      <c r="C69" s="22">
        <f t="shared" ref="C69:C71" si="36">IF(C18=0,E18,NA())</f>
        <v>0.18444224167729373</v>
      </c>
      <c r="D69" s="22">
        <f t="shared" ref="D69:D71" si="37">IF(C18=0,F18,NA())</f>
        <v>-0.71040206151125929</v>
      </c>
      <c r="E69" s="1"/>
      <c r="F69" s="21">
        <f t="shared" si="34"/>
        <v>7</v>
      </c>
      <c r="G69" s="21">
        <f t="shared" si="35"/>
        <v>14</v>
      </c>
      <c r="H69" s="22">
        <f t="shared" ref="H69:H71" si="38">IF(C18=0,A18,NA())</f>
        <v>7</v>
      </c>
      <c r="I69" s="22">
        <f t="shared" ref="I69:I71" si="39">IF(C18=0,B18,NA())</f>
        <v>4</v>
      </c>
      <c r="J69" s="1"/>
      <c r="K69" s="1"/>
      <c r="L69" s="1"/>
      <c r="M69" s="1"/>
    </row>
    <row r="70" ht="14.25">
      <c r="A70" s="21">
        <f t="shared" si="32"/>
        <v>-0.48625681896741096</v>
      </c>
      <c r="B70" s="21">
        <f t="shared" si="33"/>
        <v>1.1228935810984424</v>
      </c>
      <c r="C70" s="22">
        <f t="shared" si="36"/>
        <v>1.5258403629667032</v>
      </c>
      <c r="D70" s="22">
        <f t="shared" si="37"/>
        <v>1.3520555364246551</v>
      </c>
      <c r="E70" s="1"/>
      <c r="F70" s="21">
        <f t="shared" si="34"/>
        <v>5</v>
      </c>
      <c r="G70" s="21">
        <f t="shared" si="35"/>
        <v>12</v>
      </c>
      <c r="H70" s="22">
        <f t="shared" si="38"/>
        <v>11</v>
      </c>
      <c r="I70" s="22">
        <f t="shared" si="39"/>
        <v>13</v>
      </c>
      <c r="J70" s="1"/>
      <c r="K70" s="1"/>
      <c r="L70" s="1"/>
      <c r="M70" s="1"/>
    </row>
    <row r="71" ht="14.25">
      <c r="A71" s="21">
        <f>IF(C21=1,E21,NA())</f>
        <v>-1.4923054099344681</v>
      </c>
      <c r="B71" s="21">
        <f>IF(C21=1,F21,NA())</f>
        <v>-1.1687259721636847</v>
      </c>
      <c r="C71" s="22">
        <f t="shared" si="36"/>
        <v>0.5197917719996461</v>
      </c>
      <c r="D71" s="22">
        <f t="shared" si="37"/>
        <v>-0.71040206151125929</v>
      </c>
      <c r="E71" s="1"/>
      <c r="F71" s="21">
        <f>IF(C21=1,A21,NA())</f>
        <v>2</v>
      </c>
      <c r="G71" s="21">
        <f>IF(C21=1,B21,NA())</f>
        <v>2</v>
      </c>
      <c r="H71" s="22">
        <f t="shared" si="38"/>
        <v>8</v>
      </c>
      <c r="I71" s="22">
        <f t="shared" si="39"/>
        <v>4</v>
      </c>
      <c r="J71" s="1"/>
      <c r="K71" s="1"/>
      <c r="L71" s="1"/>
      <c r="M71" s="1"/>
    </row>
    <row r="72" ht="14.25">
      <c r="A72" s="1"/>
      <c r="B72" s="1"/>
      <c r="C72" s="1"/>
      <c r="D72" s="1"/>
      <c r="E72" s="1"/>
      <c r="F72" s="1"/>
      <c r="G72" s="1"/>
      <c r="H72" s="1"/>
      <c r="J72" s="1"/>
      <c r="K72" s="1"/>
      <c r="L72" s="1"/>
      <c r="M72" s="1"/>
    </row>
    <row r="73" ht="14.25">
      <c r="E73" s="1"/>
      <c r="F73" s="1"/>
      <c r="G73" s="1"/>
      <c r="H73" s="1"/>
      <c r="J73" s="1"/>
      <c r="K73" s="1"/>
      <c r="L73" s="1"/>
      <c r="M73" s="1"/>
    </row>
    <row r="74" ht="14.25">
      <c r="E74" s="1"/>
      <c r="F74" s="1"/>
      <c r="G74" s="1"/>
      <c r="H74" s="1"/>
    </row>
    <row r="75" ht="14.25">
      <c r="E75" s="1"/>
      <c r="F75" s="1"/>
      <c r="G75" s="1"/>
      <c r="H75" s="1"/>
    </row>
    <row r="76" ht="14.25">
      <c r="E76" s="1"/>
      <c r="F76" s="1"/>
      <c r="G76" s="1"/>
      <c r="H76" s="1"/>
    </row>
    <row r="77" ht="14.25">
      <c r="E77" s="1"/>
      <c r="F77" s="1"/>
      <c r="G77" s="1"/>
      <c r="H77" s="1"/>
    </row>
    <row r="78" ht="14.25">
      <c r="E78" s="1"/>
      <c r="F78" s="1"/>
      <c r="G78" s="1"/>
      <c r="H78" s="1"/>
    </row>
    <row r="79" ht="14.25">
      <c r="E79" s="1"/>
      <c r="F79" s="1"/>
      <c r="G79" s="1"/>
      <c r="H79" s="1"/>
    </row>
    <row r="80" ht="14.25">
      <c r="E80" s="1"/>
      <c r="F80" s="1"/>
      <c r="G80" s="1"/>
      <c r="H80" s="1"/>
    </row>
    <row r="81" ht="14.25">
      <c r="E81" s="1"/>
      <c r="F81" s="1"/>
      <c r="G81" s="1"/>
      <c r="H81" s="1"/>
    </row>
  </sheetData>
  <mergeCells count="9">
    <mergeCell ref="A23:B23"/>
    <mergeCell ref="A26:B26"/>
    <mergeCell ref="F28:I28"/>
    <mergeCell ref="A30:D30"/>
    <mergeCell ref="F30:I30"/>
    <mergeCell ref="A60:B60"/>
    <mergeCell ref="C60:D60"/>
    <mergeCell ref="F60:G60"/>
    <mergeCell ref="H60:I6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2026-06-25T03:58:27Z</dcterms:modified>
</cp:coreProperties>
</file>